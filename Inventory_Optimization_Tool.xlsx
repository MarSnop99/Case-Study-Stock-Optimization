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33d5d71dab31c1/Dokumenty/"/>
    </mc:Choice>
  </mc:AlternateContent>
  <xr:revisionPtr revIDLastSave="0" documentId="8_{7F6D3B75-5F74-45CA-86A8-FAF7B19D8E90}" xr6:coauthVersionLast="47" xr6:coauthVersionMax="47" xr10:uidLastSave="{00000000-0000-0000-0000-000000000000}"/>
  <bookViews>
    <workbookView xWindow="-105" yWindow="0" windowWidth="14610" windowHeight="15585" firstSheet="1" activeTab="2" xr2:uid="{7226DA83-125E-4800-BC5E-38348151B087}"/>
  </bookViews>
  <sheets>
    <sheet name="Dane_Zrodlowe" sheetId="1" state="hidden" r:id="rId1"/>
    <sheet name="Narzędzie_Priorytetów" sheetId="2" r:id="rId2"/>
    <sheet name="Raport_Wynikó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7" i="2"/>
  <c r="D8" i="2"/>
  <c r="D9" i="2"/>
  <c r="D10" i="2"/>
  <c r="D11" i="2"/>
  <c r="D12" i="2"/>
  <c r="D13" i="2"/>
  <c r="D14" i="2"/>
  <c r="D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B5" i="2"/>
  <c r="E13" i="2"/>
  <c r="E14" i="2"/>
  <c r="C13" i="2"/>
  <c r="C14" i="2"/>
  <c r="E6" i="2"/>
  <c r="E7" i="2"/>
  <c r="E8" i="2"/>
  <c r="E9" i="2"/>
  <c r="E10" i="2"/>
  <c r="E11" i="2"/>
  <c r="E12" i="2"/>
  <c r="C6" i="2"/>
  <c r="C7" i="2"/>
  <c r="C8" i="2"/>
  <c r="C9" i="2"/>
  <c r="C10" i="2"/>
  <c r="C11" i="2"/>
  <c r="C12" i="2"/>
  <c r="C5" i="2"/>
  <c r="E5" i="2" s="1"/>
  <c r="A5" i="2"/>
</calcChain>
</file>

<file path=xl/sharedStrings.xml><?xml version="1.0" encoding="utf-8"?>
<sst xmlns="http://schemas.openxmlformats.org/spreadsheetml/2006/main" count="52" uniqueCount="38">
  <si>
    <t>D</t>
  </si>
  <si>
    <t>Produkt</t>
  </si>
  <si>
    <t>Kategoria</t>
  </si>
  <si>
    <t>Status</t>
  </si>
  <si>
    <t>Wartosc_Start (PLN)</t>
  </si>
  <si>
    <t>Wartosc_Koniec (PLN)</t>
  </si>
  <si>
    <t>P001</t>
  </si>
  <si>
    <t>Zestaw Mebli Ogrodowych "Rattan"</t>
  </si>
  <si>
    <t>Ogród</t>
  </si>
  <si>
    <t>Wycofany</t>
  </si>
  <si>
    <t>P002</t>
  </si>
  <si>
    <t>Kosiarka Spalinowa X500</t>
  </si>
  <si>
    <t>Maszyny</t>
  </si>
  <si>
    <t>Trudnozbywalny</t>
  </si>
  <si>
    <t>P003</t>
  </si>
  <si>
    <t>Płytki Tarasowe "Drewno"</t>
  </si>
  <si>
    <t>Budowa</t>
  </si>
  <si>
    <t>P004</t>
  </si>
  <si>
    <t>Grill Gazowy Premium</t>
  </si>
  <si>
    <t>P005</t>
  </si>
  <si>
    <t>Donica Ceramiczna XXL</t>
  </si>
  <si>
    <t>Ozdoby</t>
  </si>
  <si>
    <t>P006</t>
  </si>
  <si>
    <t>Narzędzia Ręczne (Zestaw)</t>
  </si>
  <si>
    <t>Narzędzia</t>
  </si>
  <si>
    <t>P007</t>
  </si>
  <si>
    <t>Oświetlenie Solarne LED</t>
  </si>
  <si>
    <t>P008</t>
  </si>
  <si>
    <t>Farba Elewacyjna (Końcówki)</t>
  </si>
  <si>
    <t>P009</t>
  </si>
  <si>
    <t>Basen Rozporowy (Stary Model)</t>
  </si>
  <si>
    <t>P010</t>
  </si>
  <si>
    <t>Akcesoria Drobne (Mix)</t>
  </si>
  <si>
    <t>Różne</t>
  </si>
  <si>
    <t>LISTA PRIORYTETÓW SPRZEDAŻOWYCH</t>
  </si>
  <si>
    <t>PRIORYTET</t>
  </si>
  <si>
    <t> Kategoria</t>
  </si>
  <si>
    <t> Pozostało do Sprzedania (PLN)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</si>
</sst>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Redukcja Zapasów (Start</a:t>
            </a:r>
            <a:r>
              <a:rPr lang="pl-PL" baseline="0"/>
              <a:t> vs Koniec)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Dane_Zrodlowe!$E$1</c:f>
              <c:strCache>
                <c:ptCount val="1"/>
                <c:pt idx="0">
                  <c:v>Wartosc_Start (PLN)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Dane_Zrodlowe!$B$2:$B$11</c:f>
              <c:strCache>
                <c:ptCount val="10"/>
                <c:pt idx="0">
                  <c:v>Zestaw Mebli Ogrodowych "Rattan"</c:v>
                </c:pt>
                <c:pt idx="1">
                  <c:v>Kosiarka Spalinowa X500</c:v>
                </c:pt>
                <c:pt idx="2">
                  <c:v>Płytki Tarasowe "Drewno"</c:v>
                </c:pt>
                <c:pt idx="3">
                  <c:v>Grill Gazowy Premium</c:v>
                </c:pt>
                <c:pt idx="4">
                  <c:v>Donica Ceramiczna XXL</c:v>
                </c:pt>
                <c:pt idx="5">
                  <c:v>Narzędzia Ręczne (Zestaw)</c:v>
                </c:pt>
                <c:pt idx="6">
                  <c:v>Oświetlenie Solarne LED</c:v>
                </c:pt>
                <c:pt idx="7">
                  <c:v>Farba Elewacyjna (Końcówki)</c:v>
                </c:pt>
                <c:pt idx="8">
                  <c:v>Basen Rozporowy (Stary Model)</c:v>
                </c:pt>
                <c:pt idx="9">
                  <c:v>Akcesoria Drobne (Mix)</c:v>
                </c:pt>
              </c:strCache>
            </c:strRef>
          </c:cat>
          <c:val>
            <c:numRef>
              <c:f>Dane_Zrodlowe!$E$2:$E$11</c:f>
              <c:numCache>
                <c:formatCode>General</c:formatCode>
                <c:ptCount val="10"/>
                <c:pt idx="0">
                  <c:v>45000</c:v>
                </c:pt>
                <c:pt idx="1">
                  <c:v>32000</c:v>
                </c:pt>
                <c:pt idx="2">
                  <c:v>28000</c:v>
                </c:pt>
                <c:pt idx="3">
                  <c:v>25000</c:v>
                </c:pt>
                <c:pt idx="4">
                  <c:v>15000</c:v>
                </c:pt>
                <c:pt idx="5">
                  <c:v>12000</c:v>
                </c:pt>
                <c:pt idx="6">
                  <c:v>10000</c:v>
                </c:pt>
                <c:pt idx="7">
                  <c:v>8000</c:v>
                </c:pt>
                <c:pt idx="8">
                  <c:v>6000</c:v>
                </c:pt>
                <c:pt idx="9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E-4DA0-87DD-34E6BE660642}"/>
            </c:ext>
          </c:extLst>
        </c:ser>
        <c:ser>
          <c:idx val="1"/>
          <c:order val="1"/>
          <c:tx>
            <c:strRef>
              <c:f>Dane_Zrodlowe!$F$1</c:f>
              <c:strCache>
                <c:ptCount val="1"/>
                <c:pt idx="0">
                  <c:v>Wartosc_Koniec (PLN)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Dane_Zrodlowe!$B$2:$B$11</c:f>
              <c:strCache>
                <c:ptCount val="10"/>
                <c:pt idx="0">
                  <c:v>Zestaw Mebli Ogrodowych "Rattan"</c:v>
                </c:pt>
                <c:pt idx="1">
                  <c:v>Kosiarka Spalinowa X500</c:v>
                </c:pt>
                <c:pt idx="2">
                  <c:v>Płytki Tarasowe "Drewno"</c:v>
                </c:pt>
                <c:pt idx="3">
                  <c:v>Grill Gazowy Premium</c:v>
                </c:pt>
                <c:pt idx="4">
                  <c:v>Donica Ceramiczna XXL</c:v>
                </c:pt>
                <c:pt idx="5">
                  <c:v>Narzędzia Ręczne (Zestaw)</c:v>
                </c:pt>
                <c:pt idx="6">
                  <c:v>Oświetlenie Solarne LED</c:v>
                </c:pt>
                <c:pt idx="7">
                  <c:v>Farba Elewacyjna (Końcówki)</c:v>
                </c:pt>
                <c:pt idx="8">
                  <c:v>Basen Rozporowy (Stary Model)</c:v>
                </c:pt>
                <c:pt idx="9">
                  <c:v>Akcesoria Drobne (Mix)</c:v>
                </c:pt>
              </c:strCache>
            </c:strRef>
          </c:cat>
          <c:val>
            <c:numRef>
              <c:f>Dane_Zrodlowe!$F$2:$F$11</c:f>
              <c:numCache>
                <c:formatCode>General</c:formatCode>
                <c:ptCount val="10"/>
                <c:pt idx="0">
                  <c:v>5000</c:v>
                </c:pt>
                <c:pt idx="1">
                  <c:v>8000</c:v>
                </c:pt>
                <c:pt idx="2">
                  <c:v>2000</c:v>
                </c:pt>
                <c:pt idx="3">
                  <c:v>12000</c:v>
                </c:pt>
                <c:pt idx="4">
                  <c:v>1000</c:v>
                </c:pt>
                <c:pt idx="5">
                  <c:v>3000</c:v>
                </c:pt>
                <c:pt idx="6">
                  <c:v>500</c:v>
                </c:pt>
                <c:pt idx="7">
                  <c:v>1500</c:v>
                </c:pt>
                <c:pt idx="8">
                  <c:v>1000</c:v>
                </c:pt>
                <c:pt idx="9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AE-4DA0-87DD-34E6BE660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6911424"/>
        <c:axId val="1316913824"/>
      </c:barChart>
      <c:catAx>
        <c:axId val="131691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6913824"/>
        <c:crosses val="autoZero"/>
        <c:auto val="1"/>
        <c:lblAlgn val="ctr"/>
        <c:lblOffset val="100"/>
        <c:noMultiLvlLbl val="0"/>
      </c:catAx>
      <c:valAx>
        <c:axId val="131691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691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0</xdr:row>
      <xdr:rowOff>0</xdr:rowOff>
    </xdr:from>
    <xdr:to>
      <xdr:col>11</xdr:col>
      <xdr:colOff>600074</xdr:colOff>
      <xdr:row>17</xdr:row>
      <xdr:rowOff>85725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DF48600-DBE8-466F-ABE7-23F7FDE51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9524</xdr:colOff>
      <xdr:row>17</xdr:row>
      <xdr:rowOff>76200</xdr:rowOff>
    </xdr:from>
    <xdr:to>
      <xdr:col>11</xdr:col>
      <xdr:colOff>609599</xdr:colOff>
      <xdr:row>35</xdr:row>
      <xdr:rowOff>104775</xdr:rowOff>
    </xdr:to>
    <xdr:sp macro="" textlink="">
      <xdr:nvSpPr>
        <xdr:cNvPr id="4" name="pole tekstowe 3">
          <a:extLst>
            <a:ext uri="{FF2B5EF4-FFF2-40B4-BE49-F238E27FC236}">
              <a16:creationId xmlns:a16="http://schemas.microsoft.com/office/drawing/2014/main" id="{0F9D256F-4CDE-F7CC-B287-E32AB74386C5}"/>
            </a:ext>
          </a:extLst>
        </xdr:cNvPr>
        <xdr:cNvSpPr txBox="1"/>
      </xdr:nvSpPr>
      <xdr:spPr>
        <a:xfrm>
          <a:off x="619124" y="3314700"/>
          <a:ext cx="6696075" cy="3457575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3600"/>
            <a:t>-81%</a:t>
          </a:r>
        </a:p>
        <a:p>
          <a:pPr algn="ctr"/>
          <a:r>
            <a:rPr lang="pl-PL" sz="3600"/>
            <a:t>Redukcja</a:t>
          </a:r>
          <a:r>
            <a:rPr lang="pl-PL" sz="3600" baseline="0"/>
            <a:t> Wartości Magazynu</a:t>
          </a:r>
        </a:p>
        <a:p>
          <a:endParaRPr lang="pl-PL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BE6173-6172-4CC1-9A29-0FFE293530C3}" name="Tabela1" displayName="Tabela1" ref="A1:F11" totalsRowShown="0" headerRowCellStyle="Normalny" dataCellStyle="Normalny">
  <autoFilter ref="A1:F11" xr:uid="{AFBE6173-6172-4CC1-9A29-0FFE293530C3}"/>
  <tableColumns count="6">
    <tableColumn id="1" xr3:uid="{667EE5E4-162E-4411-8524-E99510905741}" name="D" dataCellStyle="Normalny"/>
    <tableColumn id="2" xr3:uid="{E0BF0638-AD15-4CC0-8913-04ED0BCD7C4B}" name="Produkt" dataCellStyle="Normalny"/>
    <tableColumn id="3" xr3:uid="{80538E6A-3EE4-4419-9D22-F7F807A110F5}" name="Kategoria" dataCellStyle="Normalny"/>
    <tableColumn id="4" xr3:uid="{52F8ED8F-BDAB-4BAF-862F-FF77AB9B321E}" name="Status" dataCellStyle="Normalny"/>
    <tableColumn id="5" xr3:uid="{C8E36CC2-1C41-4CC7-81C4-21C8E1740C80}" name="Wartosc_Start (PLN)" dataCellStyle="Normalny"/>
    <tableColumn id="6" xr3:uid="{BAB73921-0DE3-41DE-AB0E-92AFA19B47A9}" name="Wartosc_Koniec (PLN)" dataCellStyle="Normaln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CD4D-F75D-4A9D-9B94-9DD7CFA5AB3F}">
  <dimension ref="A1:F11"/>
  <sheetViews>
    <sheetView workbookViewId="0">
      <selection activeCell="B1" activeCellId="1" sqref="E1:F11 B1:B11"/>
    </sheetView>
  </sheetViews>
  <sheetFormatPr defaultRowHeight="15" x14ac:dyDescent="0.25"/>
  <cols>
    <col min="2" max="2" width="32.140625" bestFit="1" customWidth="1"/>
    <col min="3" max="3" width="12.28515625" customWidth="1"/>
    <col min="4" max="4" width="15.42578125" bestFit="1" customWidth="1"/>
    <col min="5" max="5" width="23.140625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45000</v>
      </c>
      <c r="F2">
        <v>5000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32000</v>
      </c>
      <c r="F3">
        <v>8000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>
        <v>28000</v>
      </c>
      <c r="F4">
        <v>2000</v>
      </c>
    </row>
    <row r="5" spans="1:6" x14ac:dyDescent="0.25">
      <c r="A5" t="s">
        <v>17</v>
      </c>
      <c r="B5" t="s">
        <v>18</v>
      </c>
      <c r="C5" t="s">
        <v>8</v>
      </c>
      <c r="D5" t="s">
        <v>13</v>
      </c>
      <c r="E5">
        <v>25000</v>
      </c>
      <c r="F5">
        <v>12000</v>
      </c>
    </row>
    <row r="6" spans="1:6" x14ac:dyDescent="0.25">
      <c r="A6" t="s">
        <v>19</v>
      </c>
      <c r="B6" t="s">
        <v>20</v>
      </c>
      <c r="C6" t="s">
        <v>21</v>
      </c>
      <c r="D6" t="s">
        <v>9</v>
      </c>
      <c r="E6">
        <v>15000</v>
      </c>
      <c r="F6">
        <v>1000</v>
      </c>
    </row>
    <row r="7" spans="1:6" x14ac:dyDescent="0.25">
      <c r="A7" t="s">
        <v>22</v>
      </c>
      <c r="B7" t="s">
        <v>23</v>
      </c>
      <c r="C7" t="s">
        <v>24</v>
      </c>
      <c r="D7" t="s">
        <v>13</v>
      </c>
      <c r="E7">
        <v>12000</v>
      </c>
      <c r="F7">
        <v>3000</v>
      </c>
    </row>
    <row r="8" spans="1:6" x14ac:dyDescent="0.25">
      <c r="A8" t="s">
        <v>25</v>
      </c>
      <c r="B8" t="s">
        <v>26</v>
      </c>
      <c r="C8" t="s">
        <v>8</v>
      </c>
      <c r="D8" t="s">
        <v>9</v>
      </c>
      <c r="E8">
        <v>10000</v>
      </c>
      <c r="F8">
        <v>500</v>
      </c>
    </row>
    <row r="9" spans="1:6" x14ac:dyDescent="0.25">
      <c r="A9" t="s">
        <v>27</v>
      </c>
      <c r="B9" t="s">
        <v>28</v>
      </c>
      <c r="C9" t="s">
        <v>16</v>
      </c>
      <c r="D9" t="s">
        <v>9</v>
      </c>
      <c r="E9">
        <v>8000</v>
      </c>
      <c r="F9">
        <v>1500</v>
      </c>
    </row>
    <row r="10" spans="1:6" x14ac:dyDescent="0.25">
      <c r="A10" t="s">
        <v>29</v>
      </c>
      <c r="B10" t="s">
        <v>30</v>
      </c>
      <c r="C10" t="s">
        <v>8</v>
      </c>
      <c r="D10" t="s">
        <v>9</v>
      </c>
      <c r="E10">
        <v>6000</v>
      </c>
      <c r="F10">
        <v>1000</v>
      </c>
    </row>
    <row r="11" spans="1:6" x14ac:dyDescent="0.25">
      <c r="A11" t="s">
        <v>31</v>
      </c>
      <c r="B11" t="s">
        <v>32</v>
      </c>
      <c r="C11" t="s">
        <v>33</v>
      </c>
      <c r="D11" t="s">
        <v>13</v>
      </c>
      <c r="E11">
        <v>4000</v>
      </c>
      <c r="F11">
        <v>1000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58EF-D88B-4F45-AC92-F47504C7C975}">
  <dimension ref="A1:E14"/>
  <sheetViews>
    <sheetView workbookViewId="0">
      <selection activeCell="H5" sqref="H5"/>
    </sheetView>
  </sheetViews>
  <sheetFormatPr defaultRowHeight="15" x14ac:dyDescent="0.25"/>
  <cols>
    <col min="1" max="1" width="32.140625" bestFit="1" customWidth="1"/>
    <col min="2" max="2" width="35.140625" bestFit="1" customWidth="1"/>
    <col min="3" max="3" width="29" bestFit="1" customWidth="1"/>
    <col min="4" max="4" width="15.42578125" bestFit="1" customWidth="1"/>
    <col min="5" max="5" width="11" bestFit="1" customWidth="1"/>
  </cols>
  <sheetData>
    <row r="1" spans="1:5" x14ac:dyDescent="0.25">
      <c r="B1" t="s">
        <v>34</v>
      </c>
    </row>
    <row r="4" spans="1:5" x14ac:dyDescent="0.25">
      <c r="A4" t="s">
        <v>1</v>
      </c>
      <c r="B4" t="s">
        <v>36</v>
      </c>
      <c r="C4" t="s">
        <v>37</v>
      </c>
      <c r="D4" t="s">
        <v>3</v>
      </c>
      <c r="E4" t="s">
        <v>35</v>
      </c>
    </row>
    <row r="5" spans="1:5" x14ac:dyDescent="0.25">
      <c r="A5" t="str">
        <f>Dane_Zrodlowe!B2</f>
        <v>Zestaw Mebli Ogrodowych "Rattan"</v>
      </c>
      <c r="B5" t="str">
        <f>Dane_Zrodlowe!C2</f>
        <v>Ogród</v>
      </c>
      <c r="C5">
        <f>Dane_Zrodlowe!F2</f>
        <v>5000</v>
      </c>
      <c r="D5" t="str">
        <f>Dane_Zrodlowe!D2</f>
        <v>Wycofany</v>
      </c>
      <c r="E5" t="str">
        <f>IF(C5&gt;10000, "CRITICAL", IF(C5&gt;5000, "WYSOKI", "NORMALNY"))</f>
        <v>NORMALNY</v>
      </c>
    </row>
    <row r="6" spans="1:5" x14ac:dyDescent="0.25">
      <c r="A6" t="str">
        <f>Dane_Zrodlowe!B3</f>
        <v>Kosiarka Spalinowa X500</v>
      </c>
      <c r="B6" t="str">
        <f>Dane_Zrodlowe!C3</f>
        <v>Maszyny</v>
      </c>
      <c r="C6">
        <f>Dane_Zrodlowe!F3</f>
        <v>8000</v>
      </c>
      <c r="D6" t="str">
        <f>Dane_Zrodlowe!D3</f>
        <v>Trudnozbywalny</v>
      </c>
      <c r="E6" t="str">
        <f t="shared" ref="E6:E14" si="0">IF(C6&gt;10000, "CRITICAL", IF(C6&gt;5000, "WYSOKI", "NORMALNY"))</f>
        <v>WYSOKI</v>
      </c>
    </row>
    <row r="7" spans="1:5" x14ac:dyDescent="0.25">
      <c r="A7" t="str">
        <f>Dane_Zrodlowe!B4</f>
        <v>Płytki Tarasowe "Drewno"</v>
      </c>
      <c r="B7" t="str">
        <f>Dane_Zrodlowe!C4</f>
        <v>Budowa</v>
      </c>
      <c r="C7">
        <f>Dane_Zrodlowe!F4</f>
        <v>2000</v>
      </c>
      <c r="D7" t="str">
        <f>Dane_Zrodlowe!D4</f>
        <v>Wycofany</v>
      </c>
      <c r="E7" t="str">
        <f t="shared" si="0"/>
        <v>NORMALNY</v>
      </c>
    </row>
    <row r="8" spans="1:5" x14ac:dyDescent="0.25">
      <c r="A8" t="str">
        <f>Dane_Zrodlowe!B5</f>
        <v>Grill Gazowy Premium</v>
      </c>
      <c r="B8" t="str">
        <f>Dane_Zrodlowe!C5</f>
        <v>Ogród</v>
      </c>
      <c r="C8">
        <f>Dane_Zrodlowe!F5</f>
        <v>12000</v>
      </c>
      <c r="D8" t="str">
        <f>Dane_Zrodlowe!D5</f>
        <v>Trudnozbywalny</v>
      </c>
      <c r="E8" t="str">
        <f t="shared" si="0"/>
        <v>CRITICAL</v>
      </c>
    </row>
    <row r="9" spans="1:5" x14ac:dyDescent="0.25">
      <c r="A9" t="str">
        <f>Dane_Zrodlowe!B6</f>
        <v>Donica Ceramiczna XXL</v>
      </c>
      <c r="B9" t="str">
        <f>Dane_Zrodlowe!C6</f>
        <v>Ozdoby</v>
      </c>
      <c r="C9">
        <f>Dane_Zrodlowe!F6</f>
        <v>1000</v>
      </c>
      <c r="D9" t="str">
        <f>Dane_Zrodlowe!D6</f>
        <v>Wycofany</v>
      </c>
      <c r="E9" t="str">
        <f t="shared" si="0"/>
        <v>NORMALNY</v>
      </c>
    </row>
    <row r="10" spans="1:5" x14ac:dyDescent="0.25">
      <c r="A10" t="str">
        <f>Dane_Zrodlowe!B7</f>
        <v>Narzędzia Ręczne (Zestaw)</v>
      </c>
      <c r="B10" t="str">
        <f>Dane_Zrodlowe!C7</f>
        <v>Narzędzia</v>
      </c>
      <c r="C10">
        <f>Dane_Zrodlowe!F7</f>
        <v>3000</v>
      </c>
      <c r="D10" t="str">
        <f>Dane_Zrodlowe!D7</f>
        <v>Trudnozbywalny</v>
      </c>
      <c r="E10" t="str">
        <f t="shared" si="0"/>
        <v>NORMALNY</v>
      </c>
    </row>
    <row r="11" spans="1:5" x14ac:dyDescent="0.25">
      <c r="A11" t="str">
        <f>Dane_Zrodlowe!B8</f>
        <v>Oświetlenie Solarne LED</v>
      </c>
      <c r="B11" t="str">
        <f>Dane_Zrodlowe!C8</f>
        <v>Ogród</v>
      </c>
      <c r="C11">
        <f>Dane_Zrodlowe!F8</f>
        <v>500</v>
      </c>
      <c r="D11" t="str">
        <f>Dane_Zrodlowe!D8</f>
        <v>Wycofany</v>
      </c>
      <c r="E11" t="str">
        <f t="shared" si="0"/>
        <v>NORMALNY</v>
      </c>
    </row>
    <row r="12" spans="1:5" x14ac:dyDescent="0.25">
      <c r="A12" t="str">
        <f>Dane_Zrodlowe!B9</f>
        <v>Farba Elewacyjna (Końcówki)</v>
      </c>
      <c r="B12" t="str">
        <f>Dane_Zrodlowe!C9</f>
        <v>Budowa</v>
      </c>
      <c r="C12">
        <f>Dane_Zrodlowe!F9</f>
        <v>1500</v>
      </c>
      <c r="D12" t="str">
        <f>Dane_Zrodlowe!D9</f>
        <v>Wycofany</v>
      </c>
      <c r="E12" t="str">
        <f t="shared" si="0"/>
        <v>NORMALNY</v>
      </c>
    </row>
    <row r="13" spans="1:5" x14ac:dyDescent="0.25">
      <c r="A13" t="str">
        <f>Dane_Zrodlowe!B10</f>
        <v>Basen Rozporowy (Stary Model)</v>
      </c>
      <c r="B13" t="str">
        <f>Dane_Zrodlowe!C10</f>
        <v>Ogród</v>
      </c>
      <c r="C13">
        <f>Dane_Zrodlowe!F10</f>
        <v>1000</v>
      </c>
      <c r="D13" t="str">
        <f>Dane_Zrodlowe!D10</f>
        <v>Wycofany</v>
      </c>
      <c r="E13" t="str">
        <f t="shared" si="0"/>
        <v>NORMALNY</v>
      </c>
    </row>
    <row r="14" spans="1:5" x14ac:dyDescent="0.25">
      <c r="A14" t="str">
        <f>Dane_Zrodlowe!B11</f>
        <v>Akcesoria Drobne (Mix)</v>
      </c>
      <c r="B14" t="str">
        <f>Dane_Zrodlowe!C11</f>
        <v>Różne</v>
      </c>
      <c r="C14">
        <f>Dane_Zrodlowe!F11</f>
        <v>1000</v>
      </c>
      <c r="D14" t="str">
        <f>Dane_Zrodlowe!D11</f>
        <v>Trudnozbywalny</v>
      </c>
      <c r="E14" t="str">
        <f t="shared" si="0"/>
        <v>NORMALNY</v>
      </c>
    </row>
  </sheetData>
  <conditionalFormatting sqref="E5:E14">
    <cfRule type="containsText" dxfId="0" priority="2" operator="containsText" text="CRITICAL">
      <formula>NOT(ISERROR(SEARCH("CRITICAL",E5)))</formula>
    </cfRule>
    <cfRule type="containsText" dxfId="1" priority="1" operator="containsText" text="WYSOKI">
      <formula>NOT(ISERROR(SEARCH("WYSOKI",E5)))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D879-9AE9-4A20-A4EE-1065D99698B2}">
  <dimension ref="A1"/>
  <sheetViews>
    <sheetView tabSelected="1" workbookViewId="0">
      <selection activeCell="Q16" sqref="Q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Dane_Zrodlowe</vt:lpstr>
      <vt:lpstr>Narzędzie_Priorytetów</vt:lpstr>
      <vt:lpstr>Raport_Wyników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Snopek</dc:creator>
  <cp:lastModifiedBy>Marcin Snopek</cp:lastModifiedBy>
  <dcterms:created xsi:type="dcterms:W3CDTF">2025-12-31T02:29:34Z</dcterms:created>
  <dcterms:modified xsi:type="dcterms:W3CDTF">2025-12-31T02:47:20Z</dcterms:modified>
</cp:coreProperties>
</file>